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Downloads\heli\"/>
    </mc:Choice>
  </mc:AlternateContent>
  <xr:revisionPtr revIDLastSave="0" documentId="13_ncr:1_{7ACADDB0-C390-4ADE-B7E9-F2CC5AFE3E57}" xr6:coauthVersionLast="47" xr6:coauthVersionMax="47" xr10:uidLastSave="{00000000-0000-0000-0000-000000000000}"/>
  <bookViews>
    <workbookView xWindow="-108" yWindow="-108" windowWidth="23256" windowHeight="13176" xr2:uid="{5FE58430-2DE3-4EEA-B2F2-3DCEEE21F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E19" i="1"/>
  <c r="E20" i="1" s="1"/>
  <c r="E21" i="1" s="1"/>
  <c r="C18" i="1"/>
  <c r="D22" i="1"/>
  <c r="G22" i="1"/>
  <c r="H22" i="1"/>
  <c r="C22" i="1"/>
  <c r="C19" i="1"/>
  <c r="C17" i="1" s="1"/>
  <c r="C9" i="1"/>
  <c r="C7" i="1" s="1"/>
  <c r="C8" i="1" s="1"/>
  <c r="H19" i="1"/>
  <c r="H17" i="1" s="1"/>
  <c r="H18" i="1" s="1"/>
  <c r="H20" i="1"/>
  <c r="H21" i="1"/>
  <c r="G19" i="1"/>
  <c r="G20" i="1" s="1"/>
  <c r="G21" i="1" s="1"/>
  <c r="H29" i="1"/>
  <c r="H30" i="1"/>
  <c r="H31" i="1"/>
  <c r="H32" i="1"/>
  <c r="H33" i="1"/>
  <c r="G31" i="1"/>
  <c r="G29" i="1" s="1"/>
  <c r="G30" i="1" s="1"/>
  <c r="G32" i="1"/>
  <c r="G33" i="1"/>
  <c r="D19" i="1"/>
  <c r="D17" i="1" s="1"/>
  <c r="D18" i="1" s="1"/>
  <c r="I7" i="1"/>
  <c r="I8" i="1"/>
  <c r="I9" i="1"/>
  <c r="I10" i="1" s="1"/>
  <c r="I11" i="1" s="1"/>
  <c r="H7" i="1"/>
  <c r="H8" i="1"/>
  <c r="H9" i="1"/>
  <c r="H10" i="1"/>
  <c r="H11" i="1" s="1"/>
  <c r="E7" i="1"/>
  <c r="E9" i="1"/>
  <c r="E10" i="1"/>
  <c r="E11" i="1" s="1"/>
  <c r="G9" i="1"/>
  <c r="G7" i="1"/>
  <c r="G8" i="1" s="1"/>
  <c r="D9" i="1"/>
  <c r="D10" i="1" s="1"/>
  <c r="D11" i="1" s="1"/>
  <c r="G10" i="1"/>
  <c r="G11" i="1" s="1"/>
  <c r="C20" i="1" l="1"/>
  <c r="C21" i="1" s="1"/>
  <c r="G17" i="1"/>
  <c r="G18" i="1" s="1"/>
  <c r="E17" i="1"/>
  <c r="D20" i="1"/>
  <c r="D21" i="1" s="1"/>
  <c r="C10" i="1"/>
  <c r="C11" i="1" s="1"/>
  <c r="D7" i="1"/>
  <c r="D8" i="1" s="1"/>
  <c r="E8" i="1"/>
  <c r="E18" i="1" l="1"/>
  <c r="E22" i="1"/>
</calcChain>
</file>

<file path=xl/sharedStrings.xml><?xml version="1.0" encoding="utf-8"?>
<sst xmlns="http://schemas.openxmlformats.org/spreadsheetml/2006/main" count="39" uniqueCount="22">
  <si>
    <t>alpha</t>
  </si>
  <si>
    <t>ct</t>
  </si>
  <si>
    <t>cp</t>
  </si>
  <si>
    <t>avg_ideal_runtime(3.7,1ah)</t>
  </si>
  <si>
    <t>omega</t>
  </si>
  <si>
    <t>naca5605_re20k</t>
  </si>
  <si>
    <t>naca5605_re30k</t>
  </si>
  <si>
    <t>naca5605_re40k</t>
  </si>
  <si>
    <t>naca5605_re20k_(shared data)</t>
  </si>
  <si>
    <t>(1.225*omega*0.08*0.013/1.81)*10^5</t>
  </si>
  <si>
    <t>(3.7*1*3600/power)/60</t>
  </si>
  <si>
    <t>Power</t>
  </si>
  <si>
    <t>SQRT((80*9.8)*(10^5)/(ct*1.225*3.14*64*64))</t>
  </si>
  <si>
    <t>formulas used</t>
  </si>
  <si>
    <t>Re_peak</t>
  </si>
  <si>
    <t>Re_0.7(c/r)</t>
  </si>
  <si>
    <t>(1.225*omega*0.08*0.013/1.81)*10^5*0.7</t>
  </si>
  <si>
    <t>naca0012_re40k</t>
  </si>
  <si>
    <t>naca5406_re40k</t>
  </si>
  <si>
    <t>3_degree linear twist</t>
  </si>
  <si>
    <t>e^-r</t>
  </si>
  <si>
    <t>3.6v,2.58ah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</si>
</sst>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2DDA-D3DD-4EB9-A0E9-9994DE4362EA}">
  <dimension ref="A3:L33"/>
  <sheetViews>
    <sheetView tabSelected="1" topLeftCell="A3" workbookViewId="0">
      <selection activeCell="C22" sqref="C22"/>
    </sheetView>
  </sheetViews>
  <sheetFormatPr defaultRowHeight="14.4" x14ac:dyDescent="0.3"/>
  <cols>
    <col min="1" max="1" width="10.44140625" customWidth="1"/>
    <col min="2" max="2" width="25.5546875" customWidth="1"/>
    <col min="3" max="4" width="16.6640625" customWidth="1"/>
    <col min="5" max="5" width="14.44140625" customWidth="1"/>
    <col min="6" max="6" width="4.5546875" customWidth="1"/>
    <col min="7" max="7" width="27.21875" customWidth="1"/>
    <col min="8" max="8" width="23" customWidth="1"/>
    <col min="9" max="9" width="17.6640625" customWidth="1"/>
    <col min="11" max="11" width="40.44140625" customWidth="1"/>
  </cols>
  <sheetData>
    <row r="3" spans="1:12" x14ac:dyDescent="0.3">
      <c r="B3" s="10"/>
      <c r="C3" s="11" t="s">
        <v>5</v>
      </c>
      <c r="D3" s="12" t="s">
        <v>6</v>
      </c>
      <c r="E3" s="12" t="s">
        <v>7</v>
      </c>
      <c r="F3" s="13"/>
      <c r="G3" s="12" t="s">
        <v>8</v>
      </c>
      <c r="H3" s="9" t="s">
        <v>17</v>
      </c>
      <c r="I3" s="9" t="s">
        <v>18</v>
      </c>
      <c r="L3" s="12" t="s">
        <v>13</v>
      </c>
    </row>
    <row r="4" spans="1:12" x14ac:dyDescent="0.3">
      <c r="B4" s="9" t="s">
        <v>0</v>
      </c>
      <c r="C4" s="5">
        <v>4</v>
      </c>
      <c r="D4" s="6">
        <v>4</v>
      </c>
      <c r="E4" s="6">
        <v>4</v>
      </c>
      <c r="F4" s="7"/>
      <c r="G4" s="6">
        <v>4</v>
      </c>
      <c r="H4" s="6">
        <v>10</v>
      </c>
      <c r="I4" s="6">
        <v>4</v>
      </c>
      <c r="J4" s="6"/>
      <c r="L4" s="6"/>
    </row>
    <row r="5" spans="1:12" x14ac:dyDescent="0.3">
      <c r="B5" s="9" t="s">
        <v>1</v>
      </c>
      <c r="C5" s="5">
        <v>7.9000000000000008E-3</v>
      </c>
      <c r="D5" s="6">
        <v>8.2500000000000004E-3</v>
      </c>
      <c r="E5" s="6">
        <v>8.5800000000000008E-3</v>
      </c>
      <c r="F5" s="7"/>
      <c r="G5" s="6">
        <v>8.9999999999999993E-3</v>
      </c>
      <c r="H5" s="6">
        <v>9.9900000000000006E-3</v>
      </c>
      <c r="I5" s="6">
        <v>8.8999999999999999E-3</v>
      </c>
      <c r="J5" s="6"/>
      <c r="L5" s="6"/>
    </row>
    <row r="6" spans="1:12" x14ac:dyDescent="0.3">
      <c r="B6" s="9" t="s">
        <v>2</v>
      </c>
      <c r="C6" s="5">
        <v>1E-3</v>
      </c>
      <c r="D6" s="6">
        <v>1.0070000000000001E-3</v>
      </c>
      <c r="E6" s="6">
        <v>1E-3</v>
      </c>
      <c r="F6" s="7"/>
      <c r="G6" s="6">
        <v>1.09E-3</v>
      </c>
      <c r="H6" s="6">
        <v>1.2179999999999999E-3</v>
      </c>
      <c r="I6" s="6">
        <v>1.16E-3</v>
      </c>
      <c r="J6" s="6"/>
      <c r="L6" s="6"/>
    </row>
    <row r="7" spans="1:12" x14ac:dyDescent="0.3">
      <c r="B7" s="9" t="s">
        <v>11</v>
      </c>
      <c r="C7" s="5">
        <f>C6*1.225*3.14*64*64*8*10^(-10)*(C9^3)</f>
        <v>6.301016280065463</v>
      </c>
      <c r="D7" s="6">
        <f>D6*1.225*3.14*64*64*8*10^(-10)*(D9^3)</f>
        <v>5.9456561083718054</v>
      </c>
      <c r="E7" s="6">
        <f>E6*1.225*3.14*64*64*8*10^(-10)*(E9^3)</f>
        <v>5.5669882783716611</v>
      </c>
      <c r="F7" s="7"/>
      <c r="G7" s="6">
        <f t="shared" ref="G7:I7" si="0">G6*1.225*3.14*64*64*8*10^(-10)*(G9^3)</f>
        <v>5.6482507990161519</v>
      </c>
      <c r="H7" s="6">
        <f t="shared" si="0"/>
        <v>5.3969736117234257</v>
      </c>
      <c r="I7" s="6">
        <f t="shared" si="0"/>
        <v>6.112575239857879</v>
      </c>
      <c r="J7" s="6"/>
      <c r="L7" s="6"/>
    </row>
    <row r="8" spans="1:12" x14ac:dyDescent="0.3">
      <c r="B8" s="9" t="s">
        <v>3</v>
      </c>
      <c r="C8" s="5">
        <f>(3.7*1*3600/C7)/60</f>
        <v>35.232411746394277</v>
      </c>
      <c r="D8" s="6">
        <f t="shared" ref="D8" si="1">(3.7*1*3600/D7)/60</f>
        <v>37.338183701444152</v>
      </c>
      <c r="E8" s="6">
        <f>(3.7*1*3600/E7)/60</f>
        <v>39.877935590864006</v>
      </c>
      <c r="F8" s="7"/>
      <c r="G8" s="6">
        <f>(3.7*1*3600/G7)/60</f>
        <v>39.304203708282458</v>
      </c>
      <c r="H8" s="6">
        <f>(3.7*1*3600/H7)/60</f>
        <v>41.134164435743521</v>
      </c>
      <c r="I8" s="6">
        <f>(3.7*1*3600/I7)/60</f>
        <v>36.318571353104787</v>
      </c>
      <c r="J8" s="6"/>
      <c r="L8" s="6" t="s">
        <v>10</v>
      </c>
    </row>
    <row r="9" spans="1:12" x14ac:dyDescent="0.3">
      <c r="B9" s="9" t="s">
        <v>4</v>
      </c>
      <c r="C9" s="5">
        <f>SQRT((80*9.8)*(10^5)/(C5*1.225*3.14*64*64))</f>
        <v>793.65479292916382</v>
      </c>
      <c r="D9" s="6">
        <f>SQRT((80*9.8)*(10^5)/(D5*1.225*3.14*64*64))</f>
        <v>776.63724613400393</v>
      </c>
      <c r="E9" s="6">
        <f>SQRT((80*9.8)*(10^5)/(E5*1.225*3.14*64*64))</f>
        <v>761.55547558081707</v>
      </c>
      <c r="F9" s="7"/>
      <c r="G9" s="6">
        <f>SQRT((80*9.8)*(10^5)/(G5*1.225*3.14*64*64))</f>
        <v>743.57355234192676</v>
      </c>
      <c r="H9" s="6">
        <f>SQRT((80*9.8)*(10^5)/(H5*1.225*3.14*64*64))</f>
        <v>705.76878263542903</v>
      </c>
      <c r="I9" s="6">
        <f>SQRT((80*9.8)*(10^5)/(I5*1.225*3.14*64*64))</f>
        <v>747.7392631005772</v>
      </c>
      <c r="J9" s="6"/>
      <c r="L9" s="6" t="s">
        <v>12</v>
      </c>
    </row>
    <row r="10" spans="1:12" x14ac:dyDescent="0.3">
      <c r="B10" s="9" t="s">
        <v>14</v>
      </c>
      <c r="C10" s="5">
        <f>(1.225*C9*0.08*0.013/1.81)*10^5</f>
        <v>55862.773822748881</v>
      </c>
      <c r="D10" s="6">
        <f>(1.225*D9*0.08*0.013/1.81)*10^5</f>
        <v>54664.964175398942</v>
      </c>
      <c r="E10" s="6">
        <f>(1.225*E9*0.08*0.013/1.81)*10^5</f>
        <v>53603.407507732649</v>
      </c>
      <c r="F10" s="7"/>
      <c r="G10" s="6">
        <f>(1.225*G9*0.08*0.013/1.81)*10^5</f>
        <v>52337.718546056058</v>
      </c>
      <c r="H10" s="6">
        <f>(1.225*H9*0.08*0.013/1.81)*10^5</f>
        <v>49676.764037432957</v>
      </c>
      <c r="I10" s="6">
        <f>(1.225*I9*0.08*0.013/1.81)*10^5</f>
        <v>52630.929347521291</v>
      </c>
      <c r="J10" s="6"/>
      <c r="L10" s="6" t="s">
        <v>9</v>
      </c>
    </row>
    <row r="11" spans="1:12" x14ac:dyDescent="0.3">
      <c r="B11" s="3" t="s">
        <v>15</v>
      </c>
      <c r="C11" s="2">
        <f>C10*0.7</f>
        <v>39103.941675924216</v>
      </c>
      <c r="D11" s="8">
        <f t="shared" ref="D11" si="2">D10*0.7</f>
        <v>38265.474922779256</v>
      </c>
      <c r="E11" s="8">
        <f t="shared" ref="E11" si="3">E10*0.7</f>
        <v>37522.385255412853</v>
      </c>
      <c r="F11" s="4"/>
      <c r="G11" s="8">
        <f t="shared" ref="G11:H11" si="4">G10*0.7</f>
        <v>36636.40298223924</v>
      </c>
      <c r="H11" s="8">
        <f t="shared" si="4"/>
        <v>34773.734826203065</v>
      </c>
      <c r="I11" s="8">
        <f t="shared" ref="I11" si="5">I10*0.7</f>
        <v>36841.650543264899</v>
      </c>
      <c r="J11" s="8"/>
      <c r="L11" s="8" t="s">
        <v>16</v>
      </c>
    </row>
    <row r="13" spans="1:12" x14ac:dyDescent="0.3">
      <c r="C13" t="s">
        <v>19</v>
      </c>
      <c r="G13" t="s">
        <v>20</v>
      </c>
    </row>
    <row r="14" spans="1:12" x14ac:dyDescent="0.3">
      <c r="B14" s="9" t="s">
        <v>0</v>
      </c>
      <c r="C14" s="6">
        <v>2.81</v>
      </c>
      <c r="D14" s="1">
        <v>3.29</v>
      </c>
      <c r="E14" s="1">
        <v>4</v>
      </c>
      <c r="G14" s="1">
        <v>1.62</v>
      </c>
      <c r="H14" s="1">
        <v>0</v>
      </c>
    </row>
    <row r="15" spans="1:12" x14ac:dyDescent="0.3">
      <c r="A15" s="1"/>
      <c r="B15" s="9" t="s">
        <v>1</v>
      </c>
      <c r="C15" s="6">
        <v>8.5800000000000008E-3</v>
      </c>
      <c r="D15" s="6">
        <v>8.5800000000000008E-3</v>
      </c>
      <c r="E15">
        <v>9.1999999999999998E-3</v>
      </c>
      <c r="G15">
        <v>8.5800000000000008E-3</v>
      </c>
      <c r="H15">
        <v>6.8500000000000002E-3</v>
      </c>
    </row>
    <row r="16" spans="1:12" x14ac:dyDescent="0.3">
      <c r="A16" s="1"/>
      <c r="B16" s="9" t="s">
        <v>2</v>
      </c>
      <c r="C16" s="6">
        <v>9.6100000000000005E-4</v>
      </c>
      <c r="D16">
        <v>9.5699999999999995E-4</v>
      </c>
      <c r="E16">
        <v>1.0499999999999999E-3</v>
      </c>
      <c r="G16">
        <v>9.5E-4</v>
      </c>
      <c r="H16">
        <v>7.67E-4</v>
      </c>
    </row>
    <row r="17" spans="1:9" x14ac:dyDescent="0.3">
      <c r="A17" s="1"/>
      <c r="B17" s="9" t="s">
        <v>11</v>
      </c>
      <c r="C17" s="6">
        <f t="shared" ref="C17" si="6">C16*1.225*3.14*64*64*8*10^(-10)*(C19^3)</f>
        <v>5.3498757355151652</v>
      </c>
      <c r="D17" s="6">
        <f>D16*1.225*3.14*64*64*8*10^(-10)*(D19^3)</f>
        <v>5.327607782401679</v>
      </c>
      <c r="E17" s="6">
        <f>E16*1.225*3.14*64*64*8*10^(-10)*(E19^3)</f>
        <v>5.2645202034291438</v>
      </c>
      <c r="F17" s="6"/>
      <c r="G17" s="6">
        <f t="shared" ref="F17:G17" si="7">G16*1.225*3.14*64*64*8*10^(-10)*(G19^3)</f>
        <v>5.2886388644530768</v>
      </c>
      <c r="H17" s="6">
        <f t="shared" ref="H17" si="8">H16*1.225*3.14*64*64*8*10^(-10)*(H19^3)</f>
        <v>5.98564209840203</v>
      </c>
      <c r="I17" s="6"/>
    </row>
    <row r="18" spans="1:9" x14ac:dyDescent="0.3">
      <c r="A18" s="1"/>
      <c r="B18" s="9" t="s">
        <v>3</v>
      </c>
      <c r="C18" s="6">
        <f>(3.7*1*3600/C17)/60</f>
        <v>41.496290937423531</v>
      </c>
      <c r="D18" s="6">
        <f>(3.7*1*3600/D17)/60</f>
        <v>41.669734159732506</v>
      </c>
      <c r="E18" s="6">
        <f>(3.7*1*3600/E17)/60</f>
        <v>42.169085010899217</v>
      </c>
      <c r="F18" s="6"/>
      <c r="G18" s="6">
        <f t="shared" ref="F18:G18" si="9">(3.7*1*3600/G17)/60</f>
        <v>41.976774306172643</v>
      </c>
      <c r="H18" s="6">
        <f t="shared" ref="H18" si="10">(3.7*1*3600/H17)/60</f>
        <v>37.088752777127567</v>
      </c>
      <c r="I18" s="6"/>
    </row>
    <row r="19" spans="1:9" x14ac:dyDescent="0.3">
      <c r="A19" s="1"/>
      <c r="B19" s="9" t="s">
        <v>4</v>
      </c>
      <c r="C19" s="6">
        <f>SQRT((80*9.8)*(10^5)/(C15*1.225*3.14*64*64))</f>
        <v>761.55547558081707</v>
      </c>
      <c r="D19" s="6">
        <f>SQRT((80*9.8)*(10^5)/(D15*1.225*3.14*64*64))</f>
        <v>761.55547558081707</v>
      </c>
      <c r="E19" s="6">
        <f>SQRT((80*9.8)*(10^5)/(E15*1.225*3.14*64*64))</f>
        <v>735.44682142170996</v>
      </c>
      <c r="F19" s="6"/>
      <c r="G19" s="6">
        <f t="shared" ref="F19:G19" si="11">SQRT((80*9.8)*(10^5)/(G15*1.225*3.14*64*64))</f>
        <v>761.55547558081707</v>
      </c>
      <c r="H19" s="6">
        <f t="shared" ref="H19" si="12">SQRT((80*9.8)*(10^5)/(H15*1.225*3.14*64*64))</f>
        <v>852.31455158528104</v>
      </c>
      <c r="I19" s="6"/>
    </row>
    <row r="20" spans="1:9" x14ac:dyDescent="0.3">
      <c r="A20" s="1"/>
      <c r="B20" s="9" t="s">
        <v>14</v>
      </c>
      <c r="C20" s="6">
        <f>(1.225*C19*0.08*0.013/1.81)*10^5</f>
        <v>53603.407507732649</v>
      </c>
      <c r="D20" s="6">
        <f>(1.225*D19*0.08*0.013/1.81)*10^5</f>
        <v>53603.407507732649</v>
      </c>
      <c r="E20" s="6">
        <f>(1.225*E19*0.08*0.013/1.81)*10^5</f>
        <v>51765.704447030861</v>
      </c>
      <c r="F20" s="6"/>
      <c r="G20" s="6">
        <f t="shared" ref="F20:G20" si="13">(1.225*G19*0.08*0.013/1.81)*10^5</f>
        <v>53603.407507732649</v>
      </c>
      <c r="H20" s="6">
        <f t="shared" ref="H20" si="14">(1.225*H19*0.08*0.013/1.81)*10^5</f>
        <v>59991.643023184974</v>
      </c>
      <c r="I20" s="6"/>
    </row>
    <row r="21" spans="1:9" x14ac:dyDescent="0.3">
      <c r="A21" s="1"/>
      <c r="B21" s="3" t="s">
        <v>15</v>
      </c>
      <c r="C21" s="8">
        <f t="shared" ref="C21" si="15">C20*0.7</f>
        <v>37522.385255412853</v>
      </c>
      <c r="D21" s="8">
        <f t="shared" ref="D21:E21" si="16">D20*0.7</f>
        <v>37522.385255412853</v>
      </c>
      <c r="E21" s="8">
        <f t="shared" si="16"/>
        <v>36235.993112921598</v>
      </c>
      <c r="F21" s="8"/>
      <c r="G21" s="8">
        <f t="shared" ref="F21:G21" si="17">G20*0.7</f>
        <v>37522.385255412853</v>
      </c>
      <c r="H21" s="8">
        <f t="shared" ref="H21" si="18">H20*0.7</f>
        <v>41994.150116229481</v>
      </c>
      <c r="I21" s="8"/>
    </row>
    <row r="22" spans="1:9" x14ac:dyDescent="0.3">
      <c r="A22" s="1"/>
      <c r="B22" s="14" t="s">
        <v>21</v>
      </c>
      <c r="C22">
        <f>(3.6*2.85*3600/C17)/60</f>
        <v>115.06809324809878</v>
      </c>
      <c r="D22">
        <f t="shared" ref="D22:I22" si="19">(3.6*2.85*3600/D17)/60</f>
        <v>115.5490466159069</v>
      </c>
      <c r="E22">
        <f t="shared" si="19"/>
        <v>116.93373303022324</v>
      </c>
      <c r="G22">
        <f t="shared" si="19"/>
        <v>116.40046064360307</v>
      </c>
      <c r="H22">
        <f t="shared" si="19"/>
        <v>102.84610905225105</v>
      </c>
    </row>
    <row r="25" spans="1:9" x14ac:dyDescent="0.3">
      <c r="B25">
        <f>735.44*120*3.14</f>
        <v>277113.79200000002</v>
      </c>
      <c r="G25" s="12" t="s">
        <v>7</v>
      </c>
    </row>
    <row r="26" spans="1:9" x14ac:dyDescent="0.3">
      <c r="F26" s="9" t="s">
        <v>0</v>
      </c>
      <c r="G26" s="6">
        <v>4</v>
      </c>
      <c r="H26">
        <v>4</v>
      </c>
    </row>
    <row r="27" spans="1:9" x14ac:dyDescent="0.3">
      <c r="F27" s="9" t="s">
        <v>1</v>
      </c>
      <c r="G27" s="6">
        <v>8.5800000000000008E-3</v>
      </c>
      <c r="H27">
        <v>1.7749999999999998E-2</v>
      </c>
    </row>
    <row r="28" spans="1:9" x14ac:dyDescent="0.3">
      <c r="F28" s="9" t="s">
        <v>2</v>
      </c>
      <c r="G28" s="6">
        <v>1E-3</v>
      </c>
      <c r="H28">
        <v>3.8E-3</v>
      </c>
    </row>
    <row r="29" spans="1:9" x14ac:dyDescent="0.3">
      <c r="F29" s="9" t="s">
        <v>11</v>
      </c>
      <c r="G29" s="6">
        <f>G28*1.225*3.14*64*64*8*10^(-10)*(G31^3)</f>
        <v>5.5669882783716611</v>
      </c>
      <c r="H29" s="6">
        <f>H28*1.225*3.14*64*64*8*10^(-10)*(H31^3)</f>
        <v>7.1094711986862089</v>
      </c>
    </row>
    <row r="30" spans="1:9" x14ac:dyDescent="0.3">
      <c r="F30" s="9" t="s">
        <v>3</v>
      </c>
      <c r="G30" s="6">
        <f>(3.7*1*3600/G29)/60</f>
        <v>39.877935590864006</v>
      </c>
      <c r="H30" s="6">
        <f>(3.7*1*3600/H29)/60</f>
        <v>31.225951100417198</v>
      </c>
    </row>
    <row r="31" spans="1:9" x14ac:dyDescent="0.3">
      <c r="F31" s="9" t="s">
        <v>4</v>
      </c>
      <c r="G31" s="6">
        <f>SQRT((80*9.8)*(10^5)/(G27*1.225*3.14*64*64))</f>
        <v>761.55547558081707</v>
      </c>
      <c r="H31" s="6">
        <f>SQRT((80*9.8)*(10^5)/(H27*1.225*3.14*64*64))</f>
        <v>529.47567206246742</v>
      </c>
    </row>
    <row r="32" spans="1:9" x14ac:dyDescent="0.3">
      <c r="F32" s="9" t="s">
        <v>14</v>
      </c>
      <c r="G32" s="6">
        <f>(1.225*G31*0.08*0.013/1.81)*10^5</f>
        <v>53603.407507732649</v>
      </c>
      <c r="H32" s="6">
        <f>(1.225*H31*0.08*0.013/1.81)*10^5</f>
        <v>37268.066641302961</v>
      </c>
    </row>
    <row r="33" spans="6:8" x14ac:dyDescent="0.3">
      <c r="F33" s="3" t="s">
        <v>15</v>
      </c>
      <c r="G33" s="8">
        <f t="shared" ref="G33:H33" si="20">G32*0.7</f>
        <v>37522.385255412853</v>
      </c>
      <c r="H33" s="8">
        <f t="shared" si="20"/>
        <v>26087.646648912072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adiki</dc:creator>
  <cp:lastModifiedBy>Raghav adiki</cp:lastModifiedBy>
  <dcterms:created xsi:type="dcterms:W3CDTF">2025-10-14T20:01:09Z</dcterms:created>
  <dcterms:modified xsi:type="dcterms:W3CDTF">2025-11-26T07:28:15Z</dcterms:modified>
</cp:coreProperties>
</file>